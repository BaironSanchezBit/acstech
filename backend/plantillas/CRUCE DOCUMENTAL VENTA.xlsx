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EB47CB03-E546-4073-AF2D-128ED58082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0" r:id="rId1"/>
  </sheets>
  <definedNames>
    <definedName name="_xlnm.Print_Area" localSheetId="0">Hoja1!$B$1:$J$38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0" l="1"/>
  <c r="H23" i="10"/>
  <c r="D23" i="10"/>
  <c r="C20" i="10"/>
  <c r="C19" i="10"/>
</calcChain>
</file>

<file path=xl/sharedStrings.xml><?xml version="1.0" encoding="utf-8"?>
<sst xmlns="http://schemas.openxmlformats.org/spreadsheetml/2006/main" count="36" uniqueCount="32">
  <si>
    <t>PLACA</t>
  </si>
  <si>
    <t>CIUDAD</t>
  </si>
  <si>
    <t>TRASPASO 50%</t>
  </si>
  <si>
    <t xml:space="preserve">INSCRIPCIÓN DE PRENDA </t>
  </si>
  <si>
    <t>COMPARENDOS COMPRADOR</t>
  </si>
  <si>
    <t>COMPARENDOS</t>
  </si>
  <si>
    <t>HONORARIOS IVA INCLUIDO</t>
  </si>
  <si>
    <t xml:space="preserve">TOTAL DOCUMENTACIÓN </t>
  </si>
  <si>
    <t>GC-LCV001</t>
  </si>
  <si>
    <t>RADICACIÓN DE CUENTA</t>
  </si>
  <si>
    <t>_________________________________________________</t>
  </si>
  <si>
    <t xml:space="preserve">FIRMA COMPRADOR </t>
  </si>
  <si>
    <t>AUDITOR CONTABILIDAD</t>
  </si>
  <si>
    <t>www.automagno.com</t>
  </si>
  <si>
    <t>CRUCE DOCUMENTAL VENTA N°</t>
  </si>
  <si>
    <t>GC-LCV001
Vigencia: 09/06/2022
Página 1 de 1</t>
  </si>
  <si>
    <t>RESUMEN TRAMITES PERMUTA</t>
  </si>
  <si>
    <t>RETOMA</t>
  </si>
  <si>
    <t>VENTA</t>
  </si>
  <si>
    <t>NUM. INVENTARIO</t>
  </si>
  <si>
    <t>RETENCIÓN</t>
  </si>
  <si>
    <t xml:space="preserve">TRASLADO DE CUENTA </t>
  </si>
  <si>
    <t xml:space="preserve">OTROS IMPUESTOS </t>
  </si>
  <si>
    <t xml:space="preserve">LEVANTAMIENTO DE PRENDA </t>
  </si>
  <si>
    <t>PROP IMP AÑO EN CURSO</t>
  </si>
  <si>
    <t>DEVOLUCION SOAT</t>
  </si>
  <si>
    <t>TOTAL RETOMA</t>
  </si>
  <si>
    <t>OBSERVACIÓN:
LA RETENCIÓN EN LA FUENTE  Y EL VALOR DEL IMPUESTO DEL AÑO EN CURSO QUEDAN SUJETOS A LA LIQUIDACIÓN POR PARTE DE SECRETARÍA DE HACIENDA DISTRITAL.</t>
  </si>
  <si>
    <t>TOTAL VENTA - RETOMA</t>
  </si>
  <si>
    <t>PROPORCIONAL SOAT</t>
  </si>
  <si>
    <t>PROPORCIONAL IMP. AÑO EN CURSO</t>
  </si>
  <si>
    <t>Calle 93 #49a-34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</si>
</sst>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9" formatCode="[$ $]#,##0"/>
    <numFmt numFmtId="173" formatCode="&quot;$&quot;\ #,##0"/>
  </numFmts>
  <fonts count="2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8"/>
      <color theme="1"/>
      <name val="Arial"/>
      <family val="2"/>
      <scheme val="minor"/>
    </font>
    <font>
      <b/>
      <sz val="18"/>
      <color theme="1"/>
      <name val="Open Sans"/>
      <family val="2"/>
    </font>
    <font>
      <b/>
      <sz val="18"/>
      <color theme="1"/>
      <name val="Arial"/>
      <family val="2"/>
    </font>
    <font>
      <b/>
      <sz val="14"/>
      <color theme="1"/>
      <name val="Open Sans"/>
      <family val="2"/>
    </font>
    <font>
      <sz val="10"/>
      <color theme="1"/>
      <name val="Open Sans"/>
      <family val="2"/>
    </font>
    <font>
      <b/>
      <sz val="12"/>
      <color theme="1"/>
      <name val="Open Sans"/>
      <family val="2"/>
    </font>
    <font>
      <b/>
      <sz val="24"/>
      <color theme="1"/>
      <name val="Open Sans"/>
      <family val="2"/>
    </font>
    <font>
      <b/>
      <sz val="16"/>
      <color theme="1"/>
      <name val="Open Sans"/>
      <family val="2"/>
    </font>
    <font>
      <b/>
      <sz val="17"/>
      <color theme="1"/>
      <name val="Open Sans"/>
      <family val="2"/>
    </font>
    <font>
      <sz val="18"/>
      <color theme="1"/>
      <name val="Open Sans"/>
      <family val="2"/>
    </font>
    <font>
      <b/>
      <sz val="13"/>
      <color theme="1"/>
      <name val="Open Sans"/>
      <family val="2"/>
    </font>
    <font>
      <sz val="12"/>
      <color theme="1"/>
      <name val="Open Sans"/>
      <family val="2"/>
    </font>
    <font>
      <sz val="7"/>
      <color rgb="FF000000"/>
      <name val="Open Sans"/>
      <family val="2"/>
    </font>
    <font>
      <sz val="9"/>
      <color rgb="FF000000"/>
      <name val="Open Sans"/>
      <family val="2"/>
    </font>
    <font>
      <sz val="11"/>
      <color theme="1"/>
      <name val="Open Sans"/>
      <family val="2"/>
    </font>
    <font>
      <sz val="18"/>
      <color theme="1"/>
      <name val="Arial"/>
      <family val="2"/>
    </font>
    <font>
      <sz val="18"/>
      <color theme="1"/>
      <name val="Arial"/>
      <family val="2"/>
      <scheme val="minor"/>
    </font>
    <font>
      <b/>
      <sz val="16"/>
      <color rgb="FFFF0000"/>
      <name val="Open Sans"/>
      <family val="2"/>
    </font>
    <font>
      <b/>
      <sz val="12"/>
      <color rgb="FF000000"/>
      <name val="Open Sans"/>
      <family val="2"/>
    </font>
    <font>
      <b/>
      <sz val="17"/>
      <color rgb="FFFF0000"/>
      <name val="Open Sans"/>
      <family val="2"/>
    </font>
    <font>
      <b/>
      <sz val="24"/>
      <color rgb="FFFF0000"/>
      <name val="Open Sans"/>
      <family val="2"/>
    </font>
    <font>
      <b/>
      <sz val="22"/>
      <color theme="1"/>
      <name val="Arial"/>
      <family val="2"/>
    </font>
    <font>
      <b/>
      <sz val="31"/>
      <color rgb="FF000000"/>
      <name val="Arial"/>
      <family val="2"/>
    </font>
    <font>
      <sz val="10"/>
      <color rgb="FF000000"/>
      <name val="Open Sans"/>
      <family val="2"/>
    </font>
    <font>
      <u/>
      <sz val="10"/>
      <color rgb="FF0000FF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</fills>
  <borders count="2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7" fillId="0" borderId="0" xfId="0" applyFont="1"/>
    <xf numFmtId="0" fontId="8" fillId="0" borderId="6" xfId="0" applyFont="1" applyBorder="1" applyAlignment="1">
      <alignment horizontal="left" vertical="center"/>
    </xf>
    <xf numFmtId="169" fontId="10" fillId="0" borderId="7" xfId="0" applyNumberFormat="1" applyFont="1" applyBorder="1" applyAlignment="1">
      <alignment horizontal="center" vertical="center"/>
    </xf>
    <xf numFmtId="0" fontId="8" fillId="3" borderId="6" xfId="0" applyFont="1" applyFill="1" applyBorder="1"/>
    <xf numFmtId="0" fontId="10" fillId="3" borderId="7" xfId="0" applyFont="1" applyFill="1" applyBorder="1" applyAlignment="1">
      <alignment horizontal="center" vertical="center"/>
    </xf>
    <xf numFmtId="169" fontId="10" fillId="3" borderId="7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169" fontId="10" fillId="6" borderId="7" xfId="0" applyNumberFormat="1" applyFont="1" applyFill="1" applyBorder="1" applyAlignment="1">
      <alignment horizontal="center" vertical="center"/>
    </xf>
    <xf numFmtId="0" fontId="8" fillId="7" borderId="6" xfId="0" applyFont="1" applyFill="1" applyBorder="1"/>
    <xf numFmtId="169" fontId="11" fillId="0" borderId="7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169" fontId="9" fillId="2" borderId="9" xfId="0" applyNumberFormat="1" applyFont="1" applyFill="1" applyBorder="1" applyAlignment="1">
      <alignment horizontal="center"/>
    </xf>
    <xf numFmtId="0" fontId="15" fillId="0" borderId="0" xfId="0" applyFont="1"/>
    <xf numFmtId="0" fontId="8" fillId="0" borderId="0" xfId="0" applyFont="1" applyAlignment="1">
      <alignment horizontal="center" vertical="center"/>
    </xf>
    <xf numFmtId="0" fontId="17" fillId="0" borderId="0" xfId="0" applyFont="1"/>
    <xf numFmtId="0" fontId="8" fillId="0" borderId="0" xfId="0" applyFont="1"/>
    <xf numFmtId="0" fontId="8" fillId="0" borderId="0" xfId="0" applyFont="1" applyAlignment="1">
      <alignment horizontal="center" vertical="top"/>
    </xf>
    <xf numFmtId="169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center" vertical="top"/>
    </xf>
    <xf numFmtId="169" fontId="16" fillId="0" borderId="0" xfId="0" applyNumberFormat="1" applyFont="1" applyAlignment="1">
      <alignment horizontal="center" vertical="center" wrapText="1"/>
    </xf>
    <xf numFmtId="169" fontId="16" fillId="0" borderId="0" xfId="0" applyNumberFormat="1" applyFont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8" fillId="0" borderId="12" xfId="0" applyFont="1" applyBorder="1"/>
    <xf numFmtId="0" fontId="6" fillId="0" borderId="4" xfId="0" applyFont="1" applyBorder="1"/>
    <xf numFmtId="0" fontId="4" fillId="2" borderId="4" xfId="0" applyFont="1" applyFill="1" applyBorder="1" applyAlignment="1">
      <alignment horizontal="center"/>
    </xf>
    <xf numFmtId="0" fontId="13" fillId="0" borderId="4" xfId="0" applyFont="1" applyBorder="1"/>
    <xf numFmtId="0" fontId="12" fillId="0" borderId="4" xfId="0" applyFont="1" applyBorder="1" applyAlignment="1">
      <alignment horizontal="center"/>
    </xf>
    <xf numFmtId="0" fontId="8" fillId="0" borderId="4" xfId="0" applyFont="1" applyBorder="1"/>
    <xf numFmtId="169" fontId="20" fillId="0" borderId="4" xfId="0" applyNumberFormat="1" applyFont="1" applyBorder="1" applyAlignment="1">
      <alignment horizontal="center"/>
    </xf>
    <xf numFmtId="169" fontId="10" fillId="6" borderId="4" xfId="0" applyNumberFormat="1" applyFont="1" applyFill="1" applyBorder="1" applyAlignment="1">
      <alignment horizontal="center"/>
    </xf>
    <xf numFmtId="169" fontId="10" fillId="0" borderId="4" xfId="0" applyNumberFormat="1" applyFont="1" applyBorder="1" applyAlignment="1">
      <alignment horizontal="center"/>
    </xf>
    <xf numFmtId="169" fontId="20" fillId="6" borderId="4" xfId="0" applyNumberFormat="1" applyFont="1" applyFill="1" applyBorder="1" applyAlignment="1">
      <alignment horizontal="center"/>
    </xf>
    <xf numFmtId="0" fontId="21" fillId="0" borderId="4" xfId="0" applyFont="1" applyBorder="1" applyAlignment="1">
      <alignment horizontal="left"/>
    </xf>
    <xf numFmtId="169" fontId="21" fillId="7" borderId="4" xfId="0" applyNumberFormat="1" applyFont="1" applyFill="1" applyBorder="1" applyAlignment="1">
      <alignment horizontal="left" vertical="center"/>
    </xf>
    <xf numFmtId="0" fontId="1" fillId="0" borderId="12" xfId="0" applyFont="1" applyBorder="1"/>
    <xf numFmtId="169" fontId="21" fillId="7" borderId="4" xfId="0" applyNumberFormat="1" applyFont="1" applyFill="1" applyBorder="1" applyAlignment="1">
      <alignment horizontal="left"/>
    </xf>
    <xf numFmtId="169" fontId="7" fillId="0" borderId="4" xfId="0" applyNumberFormat="1" applyFont="1" applyBorder="1"/>
    <xf numFmtId="0" fontId="19" fillId="0" borderId="12" xfId="0" applyFont="1" applyBorder="1"/>
    <xf numFmtId="169" fontId="22" fillId="0" borderId="4" xfId="0" applyNumberFormat="1" applyFont="1" applyBorder="1" applyAlignment="1">
      <alignment horizontal="center"/>
    </xf>
    <xf numFmtId="0" fontId="4" fillId="2" borderId="4" xfId="0" applyFont="1" applyFill="1" applyBorder="1"/>
    <xf numFmtId="169" fontId="23" fillId="2" borderId="4" xfId="0" applyNumberFormat="1" applyFont="1" applyFill="1" applyBorder="1" applyAlignment="1">
      <alignment horizontal="center"/>
    </xf>
    <xf numFmtId="0" fontId="18" fillId="0" borderId="15" xfId="0" applyFont="1" applyBorder="1"/>
    <xf numFmtId="0" fontId="1" fillId="0" borderId="15" xfId="0" applyFont="1" applyBorder="1"/>
    <xf numFmtId="0" fontId="1" fillId="0" borderId="21" xfId="0" applyFont="1" applyBorder="1"/>
    <xf numFmtId="169" fontId="26" fillId="0" borderId="0" xfId="0" applyNumberFormat="1" applyFont="1" applyAlignment="1">
      <alignment horizontal="right" wrapText="1"/>
    </xf>
    <xf numFmtId="0" fontId="1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9" fontId="1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5" fillId="8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5" xfId="0" applyFont="1" applyBorder="1"/>
    <xf numFmtId="0" fontId="2" fillId="0" borderId="12" xfId="0" applyFont="1" applyBorder="1"/>
    <xf numFmtId="0" fontId="2" fillId="0" borderId="20" xfId="0" applyFont="1" applyBorder="1"/>
    <xf numFmtId="0" fontId="2" fillId="0" borderId="21" xfId="0" applyFont="1" applyBorder="1"/>
    <xf numFmtId="0" fontId="19" fillId="0" borderId="0" xfId="0" applyFont="1"/>
    <xf numFmtId="0" fontId="0" fillId="0" borderId="0" xfId="0"/>
    <xf numFmtId="0" fontId="24" fillId="4" borderId="16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2" xfId="0" applyFont="1" applyBorder="1"/>
    <xf numFmtId="173" fontId="25" fillId="4" borderId="17" xfId="0" applyNumberFormat="1" applyFont="1" applyFill="1" applyBorder="1" applyAlignment="1">
      <alignment horizontal="center" vertical="center"/>
    </xf>
    <xf numFmtId="173" fontId="2" fillId="0" borderId="19" xfId="0" applyNumberFormat="1" applyFont="1" applyBorder="1"/>
    <xf numFmtId="173" fontId="2" fillId="0" borderId="23" xfId="0" applyNumberFormat="1" applyFont="1" applyBorder="1"/>
    <xf numFmtId="0" fontId="8" fillId="0" borderId="0" xfId="0" applyFont="1" applyAlignment="1">
      <alignment horizontal="center" vertical="top"/>
    </xf>
    <xf numFmtId="169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left" vertical="top"/>
    </xf>
    <xf numFmtId="0" fontId="5" fillId="5" borderId="1" xfId="0" applyFont="1" applyFill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/>
  </cellXfs>
  <cellStyles count="1">
    <cellStyle name="Normal" xfId="0" builtinId="0"/>
  </cellStyles>
  <dxfs count="8">
    <dxf>
      <font>
        <color theme="5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1">
    <tableStyle name="COSTOS TRAMITES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-1</xdr:colOff>
      <xdr:row>1</xdr:row>
      <xdr:rowOff>0</xdr:rowOff>
    </xdr:from>
    <xdr:ext cx="4485409" cy="81395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1272" y="329045"/>
          <a:ext cx="4485409" cy="81395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utomagn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43"/>
  <sheetViews>
    <sheetView showGridLines="0" tabSelected="1" zoomScale="70" zoomScaleNormal="70" workbookViewId="0">
      <selection activeCell="H23" sqref="H23"/>
    </sheetView>
  </sheetViews>
  <sheetFormatPr baseColWidth="10" defaultColWidth="12.42578125" defaultRowHeight="15.75" customHeight="1" x14ac:dyDescent="0.2"/>
  <cols>
    <col min="1" max="1" width="12.140625" customWidth="1"/>
    <col min="2" max="2" width="12.42578125" customWidth="1"/>
    <col min="3" max="3" width="44.42578125" customWidth="1"/>
    <col min="4" max="4" width="33.28515625" customWidth="1"/>
    <col min="5" max="5" width="16.85546875" customWidth="1"/>
    <col min="6" max="6" width="18.85546875" customWidth="1"/>
    <col min="7" max="7" width="53.7109375" bestFit="1" customWidth="1"/>
    <col min="8" max="8" width="34.42578125" customWidth="1"/>
    <col min="9" max="9" width="9.42578125" customWidth="1"/>
    <col min="10" max="11" width="12.42578125" customWidth="1"/>
  </cols>
  <sheetData>
    <row r="1" spans="1:11" ht="26.25" customHeight="1" x14ac:dyDescent="0.2">
      <c r="A1" s="14"/>
      <c r="B1" s="18"/>
      <c r="C1" s="18"/>
      <c r="D1" s="19"/>
      <c r="E1" s="19"/>
      <c r="F1" s="19"/>
      <c r="G1" s="19"/>
      <c r="H1" s="20"/>
      <c r="I1" s="15"/>
      <c r="J1" s="21"/>
    </row>
    <row r="2" spans="1:11" ht="57" x14ac:dyDescent="0.2">
      <c r="A2" s="14"/>
      <c r="B2" s="70"/>
      <c r="C2" s="63"/>
      <c r="D2" s="71" t="s">
        <v>14</v>
      </c>
      <c r="E2" s="63"/>
      <c r="F2" s="63"/>
      <c r="G2" s="63"/>
      <c r="H2" s="72"/>
      <c r="I2" s="15"/>
      <c r="J2" s="22" t="s">
        <v>15</v>
      </c>
    </row>
    <row r="3" spans="1:11" ht="30" customHeight="1" x14ac:dyDescent="0.2">
      <c r="A3" s="15"/>
      <c r="B3" s="63"/>
      <c r="C3" s="63"/>
      <c r="D3" s="19"/>
      <c r="E3" s="19"/>
      <c r="F3" s="19"/>
      <c r="G3" s="19"/>
      <c r="H3" s="63"/>
      <c r="I3" s="23"/>
      <c r="J3" s="23"/>
      <c r="K3" s="22"/>
    </row>
    <row r="4" spans="1:11" ht="30" customHeight="1" x14ac:dyDescent="0.35">
      <c r="A4" s="1"/>
      <c r="B4" s="18"/>
      <c r="C4" s="18"/>
      <c r="D4" s="24"/>
      <c r="E4" s="25"/>
      <c r="F4" s="25"/>
      <c r="G4" s="25"/>
      <c r="H4" s="25"/>
      <c r="I4" s="25"/>
      <c r="J4" s="11"/>
    </row>
    <row r="5" spans="1:11" ht="23.25" x14ac:dyDescent="0.35">
      <c r="C5" s="73" t="s">
        <v>16</v>
      </c>
      <c r="D5" s="74"/>
      <c r="E5" s="74"/>
      <c r="F5" s="74"/>
      <c r="G5" s="74"/>
      <c r="H5" s="75"/>
      <c r="I5" s="26"/>
      <c r="J5" s="26"/>
      <c r="K5" s="26"/>
    </row>
    <row r="6" spans="1:11" ht="23.25" x14ac:dyDescent="0.35">
      <c r="C6" s="62"/>
      <c r="D6" s="63"/>
      <c r="E6" s="63"/>
      <c r="F6" s="63"/>
      <c r="G6" s="63"/>
      <c r="H6" s="63"/>
      <c r="I6" s="63"/>
      <c r="J6" s="27"/>
      <c r="K6" s="27"/>
    </row>
    <row r="7" spans="1:11" ht="23.25" x14ac:dyDescent="0.35">
      <c r="C7" s="76" t="s">
        <v>17</v>
      </c>
      <c r="D7" s="77"/>
      <c r="E7" s="28"/>
      <c r="F7" s="26"/>
      <c r="G7" s="76" t="s">
        <v>18</v>
      </c>
      <c r="H7" s="77"/>
      <c r="I7" s="26"/>
      <c r="J7" s="26"/>
      <c r="K7" s="26"/>
    </row>
    <row r="8" spans="1:11" ht="29.25" x14ac:dyDescent="0.6">
      <c r="C8" s="29" t="s">
        <v>19</v>
      </c>
      <c r="D8" s="30"/>
      <c r="E8" s="28"/>
      <c r="F8" s="26"/>
      <c r="G8" s="2" t="s">
        <v>0</v>
      </c>
      <c r="H8" s="3"/>
      <c r="I8" s="26"/>
      <c r="J8" s="26"/>
      <c r="K8" s="26"/>
    </row>
    <row r="9" spans="1:11" ht="29.25" x14ac:dyDescent="0.6">
      <c r="C9" s="29" t="s">
        <v>0</v>
      </c>
      <c r="D9" s="30"/>
      <c r="E9" s="28"/>
      <c r="F9" s="26"/>
      <c r="G9" s="2" t="s">
        <v>1</v>
      </c>
      <c r="H9" s="3"/>
      <c r="I9" s="26"/>
      <c r="J9" s="26"/>
      <c r="K9" s="26"/>
    </row>
    <row r="10" spans="1:11" ht="29.25" x14ac:dyDescent="0.6">
      <c r="C10" s="31" t="s">
        <v>1</v>
      </c>
      <c r="D10" s="32"/>
      <c r="E10" s="28"/>
      <c r="F10" s="26"/>
      <c r="G10" s="2" t="s">
        <v>2</v>
      </c>
      <c r="H10" s="3"/>
      <c r="I10" s="26"/>
      <c r="J10" s="26"/>
      <c r="K10" s="26"/>
    </row>
    <row r="11" spans="1:11" ht="26.25" x14ac:dyDescent="0.55000000000000004">
      <c r="C11" s="33" t="s">
        <v>2</v>
      </c>
      <c r="D11" s="34"/>
      <c r="E11" s="28"/>
      <c r="F11" s="26"/>
      <c r="G11" s="2" t="s">
        <v>3</v>
      </c>
      <c r="H11" s="3"/>
      <c r="I11" s="26"/>
      <c r="J11" s="26"/>
      <c r="K11" s="26"/>
    </row>
    <row r="12" spans="1:11" ht="27.75" x14ac:dyDescent="0.55000000000000004">
      <c r="C12" s="33" t="s">
        <v>20</v>
      </c>
      <c r="D12" s="34"/>
      <c r="E12" s="28"/>
      <c r="F12" s="26"/>
      <c r="G12" s="2" t="s">
        <v>21</v>
      </c>
      <c r="H12" s="10"/>
      <c r="I12" s="26"/>
      <c r="J12" s="26"/>
      <c r="K12" s="26"/>
    </row>
    <row r="13" spans="1:11" ht="27.75" x14ac:dyDescent="0.55000000000000004">
      <c r="C13" s="33" t="s">
        <v>22</v>
      </c>
      <c r="D13" s="35"/>
      <c r="E13" s="28"/>
      <c r="F13" s="26"/>
      <c r="G13" s="2" t="s">
        <v>9</v>
      </c>
      <c r="H13" s="10"/>
      <c r="I13" s="26"/>
      <c r="J13" s="26"/>
      <c r="K13" s="26"/>
    </row>
    <row r="14" spans="1:11" ht="26.25" x14ac:dyDescent="0.55000000000000004">
      <c r="C14" s="33" t="s">
        <v>23</v>
      </c>
      <c r="D14" s="36"/>
      <c r="E14" s="28"/>
      <c r="F14" s="26"/>
      <c r="G14" s="4" t="s">
        <v>4</v>
      </c>
      <c r="H14" s="6"/>
      <c r="I14" s="26"/>
      <c r="J14" s="26"/>
      <c r="K14" s="26"/>
    </row>
    <row r="15" spans="1:11" ht="26.25" x14ac:dyDescent="0.55000000000000004">
      <c r="C15" s="33" t="s">
        <v>5</v>
      </c>
      <c r="D15" s="36"/>
      <c r="E15" s="28"/>
      <c r="F15" s="26"/>
      <c r="G15" s="7" t="s">
        <v>30</v>
      </c>
      <c r="H15" s="8"/>
      <c r="I15" s="26"/>
      <c r="J15" s="26"/>
      <c r="K15" s="26"/>
    </row>
    <row r="16" spans="1:11" ht="26.25" x14ac:dyDescent="0.55000000000000004">
      <c r="C16" s="33" t="s">
        <v>24</v>
      </c>
      <c r="D16" s="37"/>
      <c r="E16" s="28"/>
      <c r="F16" s="26"/>
      <c r="G16" s="2" t="s">
        <v>29</v>
      </c>
      <c r="H16" s="8"/>
      <c r="I16" s="26"/>
      <c r="J16" s="26"/>
      <c r="K16" s="26"/>
    </row>
    <row r="17" spans="2:11" ht="26.25" x14ac:dyDescent="0.55000000000000004">
      <c r="C17" s="38" t="s">
        <v>25</v>
      </c>
      <c r="D17" s="36"/>
      <c r="E17" s="28"/>
      <c r="F17" s="26"/>
      <c r="G17" s="4" t="s">
        <v>6</v>
      </c>
      <c r="H17" s="3"/>
      <c r="I17" s="26"/>
      <c r="J17" s="26"/>
      <c r="K17" s="26"/>
    </row>
    <row r="18" spans="2:11" ht="26.25" x14ac:dyDescent="0.55000000000000004">
      <c r="C18" s="39"/>
      <c r="D18" s="34"/>
      <c r="E18" s="28"/>
      <c r="F18" s="26"/>
      <c r="G18" s="9"/>
      <c r="H18" s="5"/>
      <c r="I18" s="26"/>
      <c r="J18" s="26"/>
      <c r="K18" s="26"/>
    </row>
    <row r="19" spans="2:11" ht="26.25" x14ac:dyDescent="0.55000000000000004">
      <c r="C19" s="41" t="str">
        <f ca="1">IFERROR(__xludf.DUMMYFUNCTION("FILTER('Copia BD LIQUIDACIONES'!L2:L823,'Copia BD LIQUIDACIONES'!S2:S823=D8)"),"")</f>
        <v/>
      </c>
      <c r="D19" s="34"/>
      <c r="E19" s="40"/>
      <c r="G19" s="9"/>
      <c r="H19" s="5"/>
      <c r="I19" s="26"/>
      <c r="J19" s="26"/>
      <c r="K19" s="26"/>
    </row>
    <row r="20" spans="2:11" ht="26.25" x14ac:dyDescent="0.55000000000000004">
      <c r="C20" s="41" t="str">
        <f ca="1">IFERROR(__xludf.DUMMYFUNCTION("FILTER('Copia BD LIQUIDACIONES'!M2:M823,'Copia BD LIQUIDACIONES'!S2:S823=D8)"),"")</f>
        <v/>
      </c>
      <c r="D20" s="34"/>
      <c r="E20" s="40"/>
      <c r="G20" s="9"/>
      <c r="H20" s="3"/>
      <c r="I20" s="26"/>
      <c r="J20" s="26"/>
      <c r="K20" s="26"/>
    </row>
    <row r="21" spans="2:11" ht="27.75" x14ac:dyDescent="0.4">
      <c r="C21" s="41"/>
      <c r="D21" s="42"/>
      <c r="E21" s="40"/>
      <c r="G21" s="9"/>
      <c r="H21" s="10"/>
      <c r="I21" s="26"/>
      <c r="J21" s="26"/>
      <c r="K21" s="26"/>
    </row>
    <row r="22" spans="2:11" ht="27.75" x14ac:dyDescent="0.55000000000000004">
      <c r="C22" s="41"/>
      <c r="D22" s="44"/>
      <c r="E22" s="43"/>
      <c r="F22" s="27"/>
      <c r="G22" s="9"/>
      <c r="H22" s="10"/>
      <c r="I22" s="27"/>
      <c r="J22" s="27"/>
      <c r="K22" s="27"/>
    </row>
    <row r="23" spans="2:11" ht="38.25" x14ac:dyDescent="0.75">
      <c r="C23" s="45" t="s">
        <v>26</v>
      </c>
      <c r="D23" s="46">
        <f>SUM(D11:D22)</f>
        <v>0</v>
      </c>
      <c r="E23" s="43"/>
      <c r="F23" s="47"/>
      <c r="G23" s="12" t="s">
        <v>7</v>
      </c>
      <c r="H23" s="13">
        <f>SUM(H10:H22)</f>
        <v>0</v>
      </c>
      <c r="I23" s="27"/>
      <c r="J23" s="27"/>
      <c r="K23" s="27"/>
    </row>
    <row r="24" spans="2:11" ht="23.25" x14ac:dyDescent="0.35">
      <c r="C24" s="56" t="s">
        <v>27</v>
      </c>
      <c r="D24" s="57"/>
      <c r="E24" s="28"/>
      <c r="F24" s="26"/>
      <c r="G24" s="62"/>
      <c r="H24" s="63"/>
      <c r="I24" s="27"/>
      <c r="J24" s="27"/>
      <c r="K24" s="27"/>
    </row>
    <row r="25" spans="2:11" ht="23.25" x14ac:dyDescent="0.35">
      <c r="C25" s="58"/>
      <c r="D25" s="59"/>
      <c r="E25" s="28"/>
      <c r="G25" s="64" t="s">
        <v>28</v>
      </c>
      <c r="H25" s="67">
        <f>ABS(D23)+H23</f>
        <v>0</v>
      </c>
      <c r="I25" s="27"/>
      <c r="J25" s="27"/>
      <c r="K25" s="27"/>
    </row>
    <row r="26" spans="2:11" ht="27" customHeight="1" x14ac:dyDescent="0.35">
      <c r="B26" s="1"/>
      <c r="C26" s="58"/>
      <c r="D26" s="59"/>
      <c r="E26" s="28"/>
      <c r="F26" s="26"/>
      <c r="G26" s="65"/>
      <c r="H26" s="68"/>
    </row>
    <row r="27" spans="2:11" ht="16.5" x14ac:dyDescent="0.35">
      <c r="B27" s="1"/>
      <c r="C27" s="58"/>
      <c r="D27" s="59"/>
      <c r="E27" s="40"/>
      <c r="G27" s="65"/>
      <c r="H27" s="68"/>
    </row>
    <row r="28" spans="2:11" ht="23.25" x14ac:dyDescent="0.35">
      <c r="C28" s="58"/>
      <c r="D28" s="59"/>
      <c r="E28" s="40"/>
      <c r="G28" s="65"/>
      <c r="H28" s="68"/>
      <c r="K28" s="27"/>
    </row>
    <row r="29" spans="2:11" ht="11.25" customHeight="1" x14ac:dyDescent="0.35">
      <c r="C29" s="58"/>
      <c r="D29" s="59"/>
      <c r="E29" s="40"/>
      <c r="G29" s="66"/>
      <c r="H29" s="69"/>
      <c r="K29" s="27"/>
    </row>
    <row r="30" spans="2:11" ht="23.25" hidden="1" x14ac:dyDescent="0.35">
      <c r="C30" s="60"/>
      <c r="D30" s="61"/>
      <c r="E30" s="40"/>
      <c r="G30" s="48"/>
      <c r="H30" s="48"/>
      <c r="K30" s="27"/>
    </row>
    <row r="31" spans="2:11" ht="23.25" x14ac:dyDescent="0.35">
      <c r="C31" s="48"/>
      <c r="D31" s="48"/>
      <c r="E31" s="49"/>
      <c r="F31" s="48"/>
      <c r="G31" s="48"/>
      <c r="H31" s="48"/>
      <c r="K31" s="27"/>
    </row>
    <row r="32" spans="2:11" ht="12.75" x14ac:dyDescent="0.2"/>
    <row r="33" spans="3:10" ht="16.5" x14ac:dyDescent="0.35">
      <c r="J33" s="50"/>
    </row>
    <row r="34" spans="3:10" ht="16.5" x14ac:dyDescent="0.35">
      <c r="J34" s="50"/>
    </row>
    <row r="35" spans="3:10" ht="16.5" x14ac:dyDescent="0.35">
      <c r="J35" s="50"/>
    </row>
    <row r="36" spans="3:10" ht="24" x14ac:dyDescent="0.4">
      <c r="C36" s="16" t="s">
        <v>10</v>
      </c>
      <c r="D36" s="1"/>
      <c r="G36" s="51" t="s">
        <v>10</v>
      </c>
      <c r="H36" s="1"/>
      <c r="I36" s="27"/>
      <c r="J36" s="54" t="s">
        <v>13</v>
      </c>
    </row>
    <row r="37" spans="3:10" ht="24" x14ac:dyDescent="0.4">
      <c r="C37" s="17" t="s">
        <v>11</v>
      </c>
      <c r="D37" s="1"/>
      <c r="G37" s="52" t="s">
        <v>12</v>
      </c>
      <c r="H37" s="1"/>
      <c r="I37" s="27"/>
      <c r="J37" s="55" t="s">
        <v>31</v>
      </c>
    </row>
    <row r="38" spans="3:10" ht="23.25" x14ac:dyDescent="0.35">
      <c r="C38" s="27"/>
      <c r="D38" s="53"/>
      <c r="J38" s="50" t="s">
        <v>8</v>
      </c>
    </row>
    <row r="39" spans="3:10" ht="23.25" x14ac:dyDescent="0.35">
      <c r="C39" s="27"/>
      <c r="D39" s="53"/>
      <c r="E39" s="27"/>
      <c r="F39" s="27"/>
      <c r="G39" s="27"/>
      <c r="H39" s="27"/>
      <c r="I39" s="27"/>
      <c r="J39" s="27"/>
    </row>
    <row r="40" spans="3:10" ht="23.25" x14ac:dyDescent="0.35">
      <c r="C40" s="27"/>
      <c r="D40" s="53"/>
      <c r="E40" s="27"/>
      <c r="F40" s="27"/>
      <c r="G40" s="27"/>
      <c r="H40" s="27"/>
      <c r="I40" s="27"/>
      <c r="J40" s="1"/>
    </row>
    <row r="41" spans="3:10" ht="23.25" x14ac:dyDescent="0.35">
      <c r="C41" s="27"/>
      <c r="D41" s="53"/>
      <c r="E41" s="27"/>
      <c r="F41" s="27"/>
    </row>
    <row r="42" spans="3:10" ht="23.25" x14ac:dyDescent="0.35">
      <c r="E42" s="27"/>
      <c r="F42" s="27"/>
    </row>
    <row r="43" spans="3:10" ht="12.75" x14ac:dyDescent="0.2"/>
  </sheetData>
  <mergeCells count="11">
    <mergeCell ref="C24:D30"/>
    <mergeCell ref="G24:H24"/>
    <mergeCell ref="G25:G29"/>
    <mergeCell ref="H25:H29"/>
    <mergeCell ref="B2:C3"/>
    <mergeCell ref="D2:G2"/>
    <mergeCell ref="H2:H3"/>
    <mergeCell ref="C5:H5"/>
    <mergeCell ref="C6:I6"/>
    <mergeCell ref="C7:D7"/>
    <mergeCell ref="G7:H7"/>
  </mergeCells>
  <conditionalFormatting sqref="D11:D2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H8:H16">
    <cfRule type="containsText" dxfId="2" priority="3" operator="containsText" text="MARQUE PROVISIONAL">
      <formula>NOT(ISERROR(SEARCH(("MARQUE PROVISIONAL"),(H8))))</formula>
    </cfRule>
  </conditionalFormatting>
  <conditionalFormatting sqref="H8:H23">
    <cfRule type="containsText" dxfId="1" priority="1" operator="containsText" text="FALSO">
      <formula>NOT(ISERROR(SEARCH(("FALSO"),(H8))))</formula>
    </cfRule>
  </conditionalFormatting>
  <conditionalFormatting sqref="H12:H23">
    <cfRule type="cellIs" dxfId="0" priority="2" operator="lessThan">
      <formula>0</formula>
    </cfRule>
  </conditionalFormatting>
  <hyperlinks>
    <hyperlink ref="J36" r:id="rId1" xr:uid="{00000000-0004-0000-0900-000000000000}"/>
  </hyperlinks>
  <printOptions horizontalCentered="1"/>
  <pageMargins left="0.70866141732283472" right="0.70866141732283472" top="0.74803149606299213" bottom="0.74803149606299213" header="0" footer="0"/>
  <pageSetup scale="50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BAIRON STEVEN SANCHEZ RODRIGUEZ</cp:lastModifiedBy>
  <cp:lastPrinted>2024-01-20T20:25:19Z</cp:lastPrinted>
  <dcterms:created xsi:type="dcterms:W3CDTF">2024-01-20T19:31:22Z</dcterms:created>
  <dcterms:modified xsi:type="dcterms:W3CDTF">2024-10-08T21:08:50Z</dcterms:modified>
</cp:coreProperties>
</file>